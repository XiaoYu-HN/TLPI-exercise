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F04A2EB-A07B-4DB6-B4A8-1DE1E153A9A6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random order" sheetId="1" r:id="rId1"/>
    <sheet name="asc or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3" i="2"/>
  <c r="J2" i="2"/>
  <c r="I3" i="2"/>
  <c r="I2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  <c r="I2" i="1"/>
</calcChain>
</file>

<file path=xl/sharedStrings.xml><?xml version="1.0" encoding="utf-8"?>
<sst xmlns="http://schemas.openxmlformats.org/spreadsheetml/2006/main" count="24" uniqueCount="12">
  <si>
    <t>#files</t>
    <phoneticPr fontId="1" type="noConversion"/>
  </si>
  <si>
    <t>xfs</t>
    <phoneticPr fontId="1" type="noConversion"/>
  </si>
  <si>
    <t>ext4</t>
    <phoneticPr fontId="1" type="noConversion"/>
  </si>
  <si>
    <t>user_ext4</t>
    <phoneticPr fontId="1" type="noConversion"/>
  </si>
  <si>
    <t>sys_ext4</t>
    <phoneticPr fontId="1" type="noConversion"/>
  </si>
  <si>
    <t>real_ext4</t>
    <phoneticPr fontId="1" type="noConversion"/>
  </si>
  <si>
    <t>user_xfs</t>
    <phoneticPr fontId="1" type="noConversion"/>
  </si>
  <si>
    <t>sys_xfs</t>
    <phoneticPr fontId="1" type="noConversion"/>
  </si>
  <si>
    <t>real_xfs</t>
    <phoneticPr fontId="1" type="noConversion"/>
  </si>
  <si>
    <t>ratio_xfs</t>
    <phoneticPr fontId="1" type="noConversion"/>
  </si>
  <si>
    <t>ratio_ext4</t>
    <phoneticPr fontId="1" type="noConversion"/>
  </si>
  <si>
    <t>ratio_#files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</si>
</sst>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4" borderId="1" xfId="0" applyFill="1" applyBorder="1"/>
    <xf numFmtId="176" fontId="0" fillId="4" borderId="1" xfId="0" applyNumberFormat="1" applyFill="1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xfs</a:t>
            </a:r>
            <a:r>
              <a:rPr lang="en-US" altLang="zh-CN" baseline="0"/>
              <a:t> vs ext4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'random order'!$B$1</c:f>
              <c:strCache>
                <c:ptCount val="1"/>
                <c:pt idx="0">
                  <c:v>user_xfs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'random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'random order'!$B$2:$B$21</c:f>
              <c:numCache>
                <c:formatCode>General</c:formatCode>
                <c:ptCount val="20"/>
                <c:pt idx="0">
                  <c:v>0.01</c:v>
                </c:pt>
                <c:pt idx="1">
                  <c:v>0.01</c:v>
                </c:pt>
                <c:pt idx="2">
                  <c:v>0.02</c:v>
                </c:pt>
                <c:pt idx="3">
                  <c:v>0.02</c:v>
                </c:pt>
                <c:pt idx="4">
                  <c:v>0.04</c:v>
                </c:pt>
                <c:pt idx="5">
                  <c:v>0.05</c:v>
                </c:pt>
                <c:pt idx="6">
                  <c:v>0.08</c:v>
                </c:pt>
                <c:pt idx="7">
                  <c:v>0.1</c:v>
                </c:pt>
                <c:pt idx="8">
                  <c:v>0.15</c:v>
                </c:pt>
                <c:pt idx="9">
                  <c:v>0.16</c:v>
                </c:pt>
                <c:pt idx="10">
                  <c:v>0.2</c:v>
                </c:pt>
                <c:pt idx="11">
                  <c:v>0.18</c:v>
                </c:pt>
                <c:pt idx="12">
                  <c:v>0.28000000000000003</c:v>
                </c:pt>
                <c:pt idx="13">
                  <c:v>0.26</c:v>
                </c:pt>
                <c:pt idx="14">
                  <c:v>0.28999999999999998</c:v>
                </c:pt>
                <c:pt idx="15">
                  <c:v>0.41</c:v>
                </c:pt>
                <c:pt idx="16">
                  <c:v>0.34</c:v>
                </c:pt>
                <c:pt idx="17">
                  <c:v>0.46</c:v>
                </c:pt>
                <c:pt idx="18">
                  <c:v>0.56000000000000005</c:v>
                </c:pt>
                <c:pt idx="19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D6-47CA-A975-950FC994E245}"/>
            </c:ext>
          </c:extLst>
        </c:ser>
        <c:ser>
          <c:idx val="1"/>
          <c:order val="1"/>
          <c:tx>
            <c:strRef>
              <c:f>'random order'!$C$1</c:f>
              <c:strCache>
                <c:ptCount val="1"/>
                <c:pt idx="0">
                  <c:v>sys_xfs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'random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'random order'!$C$2:$C$21</c:f>
              <c:numCache>
                <c:formatCode>General</c:formatCode>
                <c:ptCount val="20"/>
                <c:pt idx="0">
                  <c:v>0.04</c:v>
                </c:pt>
                <c:pt idx="1">
                  <c:v>0.11</c:v>
                </c:pt>
                <c:pt idx="2">
                  <c:v>0.17</c:v>
                </c:pt>
                <c:pt idx="3">
                  <c:v>0.21</c:v>
                </c:pt>
                <c:pt idx="4">
                  <c:v>0.26</c:v>
                </c:pt>
                <c:pt idx="5">
                  <c:v>0.33</c:v>
                </c:pt>
                <c:pt idx="6">
                  <c:v>0.38</c:v>
                </c:pt>
                <c:pt idx="7">
                  <c:v>0.46</c:v>
                </c:pt>
                <c:pt idx="8">
                  <c:v>0.47</c:v>
                </c:pt>
                <c:pt idx="9">
                  <c:v>0.53</c:v>
                </c:pt>
                <c:pt idx="10">
                  <c:v>0.67</c:v>
                </c:pt>
                <c:pt idx="11">
                  <c:v>0.69</c:v>
                </c:pt>
                <c:pt idx="12">
                  <c:v>0.71</c:v>
                </c:pt>
                <c:pt idx="13">
                  <c:v>0.85</c:v>
                </c:pt>
                <c:pt idx="14">
                  <c:v>0.92</c:v>
                </c:pt>
                <c:pt idx="15">
                  <c:v>0.9</c:v>
                </c:pt>
                <c:pt idx="16">
                  <c:v>1.04</c:v>
                </c:pt>
                <c:pt idx="17">
                  <c:v>1.07</c:v>
                </c:pt>
                <c:pt idx="18">
                  <c:v>1.1000000000000001</c:v>
                </c:pt>
                <c:pt idx="19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D6-47CA-A975-950FC994E245}"/>
            </c:ext>
          </c:extLst>
        </c:ser>
        <c:ser>
          <c:idx val="2"/>
          <c:order val="2"/>
          <c:tx>
            <c:strRef>
              <c:f>'random order'!$D$1</c:f>
              <c:strCache>
                <c:ptCount val="1"/>
                <c:pt idx="0">
                  <c:v>real_xfs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'random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'random order'!$D$2:$D$21</c:f>
              <c:numCache>
                <c:formatCode>General</c:formatCode>
                <c:ptCount val="20"/>
                <c:pt idx="0">
                  <c:v>7.0000000000000007E-2</c:v>
                </c:pt>
                <c:pt idx="1">
                  <c:v>0.15</c:v>
                </c:pt>
                <c:pt idx="2">
                  <c:v>0.23</c:v>
                </c:pt>
                <c:pt idx="3">
                  <c:v>0.28999999999999998</c:v>
                </c:pt>
                <c:pt idx="4">
                  <c:v>0.37</c:v>
                </c:pt>
                <c:pt idx="5">
                  <c:v>0.47</c:v>
                </c:pt>
                <c:pt idx="6">
                  <c:v>0.56999999999999995</c:v>
                </c:pt>
                <c:pt idx="7">
                  <c:v>0.69</c:v>
                </c:pt>
                <c:pt idx="8">
                  <c:v>0.74</c:v>
                </c:pt>
                <c:pt idx="9">
                  <c:v>0.84</c:v>
                </c:pt>
                <c:pt idx="10">
                  <c:v>1.1499999999999999</c:v>
                </c:pt>
                <c:pt idx="11">
                  <c:v>1.04</c:v>
                </c:pt>
                <c:pt idx="12">
                  <c:v>1.18</c:v>
                </c:pt>
                <c:pt idx="13">
                  <c:v>1.31</c:v>
                </c:pt>
                <c:pt idx="14">
                  <c:v>1.47</c:v>
                </c:pt>
                <c:pt idx="15">
                  <c:v>1.54</c:v>
                </c:pt>
                <c:pt idx="16">
                  <c:v>1.64</c:v>
                </c:pt>
                <c:pt idx="17">
                  <c:v>1.81</c:v>
                </c:pt>
                <c:pt idx="18">
                  <c:v>1.96</c:v>
                </c:pt>
                <c:pt idx="19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D6-47CA-A975-950FC994E245}"/>
            </c:ext>
          </c:extLst>
        </c:ser>
        <c:ser>
          <c:idx val="3"/>
          <c:order val="3"/>
          <c:tx>
            <c:strRef>
              <c:f>'random order'!$E$1</c:f>
              <c:strCache>
                <c:ptCount val="1"/>
                <c:pt idx="0">
                  <c:v>user_ext4</c:v>
                </c:pt>
              </c:strCache>
            </c:strRef>
          </c:tx>
          <c:spPr>
            <a:ln w="28575" cap="rnd" cmpd="dbl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'random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'random order'!$E$2:$E$21</c:f>
              <c:numCache>
                <c:formatCode>General</c:formatCode>
                <c:ptCount val="2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0.05</c:v>
                </c:pt>
                <c:pt idx="5">
                  <c:v>0.05</c:v>
                </c:pt>
                <c:pt idx="6">
                  <c:v>0.09</c:v>
                </c:pt>
                <c:pt idx="7">
                  <c:v>0.09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0.16</c:v>
                </c:pt>
                <c:pt idx="11">
                  <c:v>0.17</c:v>
                </c:pt>
                <c:pt idx="12">
                  <c:v>0.21</c:v>
                </c:pt>
                <c:pt idx="13">
                  <c:v>0.27</c:v>
                </c:pt>
                <c:pt idx="14">
                  <c:v>0.3</c:v>
                </c:pt>
                <c:pt idx="15">
                  <c:v>0.32</c:v>
                </c:pt>
                <c:pt idx="16">
                  <c:v>0.39</c:v>
                </c:pt>
                <c:pt idx="17">
                  <c:v>0.4</c:v>
                </c:pt>
                <c:pt idx="18">
                  <c:v>0.46</c:v>
                </c:pt>
                <c:pt idx="19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D6-47CA-A975-950FC994E245}"/>
            </c:ext>
          </c:extLst>
        </c:ser>
        <c:ser>
          <c:idx val="4"/>
          <c:order val="4"/>
          <c:tx>
            <c:strRef>
              <c:f>'random order'!$F$1</c:f>
              <c:strCache>
                <c:ptCount val="1"/>
                <c:pt idx="0">
                  <c:v>sys_ext4</c:v>
                </c:pt>
              </c:strCache>
            </c:strRef>
          </c:tx>
          <c:spPr>
            <a:ln w="28575" cap="rnd" cmpd="dbl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'random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'random order'!$F$2:$F$21</c:f>
              <c:numCache>
                <c:formatCode>General</c:formatCode>
                <c:ptCount val="20"/>
                <c:pt idx="0">
                  <c:v>0.04</c:v>
                </c:pt>
                <c:pt idx="1">
                  <c:v>0.09</c:v>
                </c:pt>
                <c:pt idx="2">
                  <c:v>0.12</c:v>
                </c:pt>
                <c:pt idx="3">
                  <c:v>0.17</c:v>
                </c:pt>
                <c:pt idx="4">
                  <c:v>0.21</c:v>
                </c:pt>
                <c:pt idx="5">
                  <c:v>0.27</c:v>
                </c:pt>
                <c:pt idx="6">
                  <c:v>0.33</c:v>
                </c:pt>
                <c:pt idx="7">
                  <c:v>0.39</c:v>
                </c:pt>
                <c:pt idx="8">
                  <c:v>0.47</c:v>
                </c:pt>
                <c:pt idx="9">
                  <c:v>0.55000000000000004</c:v>
                </c:pt>
                <c:pt idx="10">
                  <c:v>0.68</c:v>
                </c:pt>
                <c:pt idx="11">
                  <c:v>0.72</c:v>
                </c:pt>
                <c:pt idx="12">
                  <c:v>0.74</c:v>
                </c:pt>
                <c:pt idx="13">
                  <c:v>0.78</c:v>
                </c:pt>
                <c:pt idx="14">
                  <c:v>0.87</c:v>
                </c:pt>
                <c:pt idx="15">
                  <c:v>0.93</c:v>
                </c:pt>
                <c:pt idx="16">
                  <c:v>0.96</c:v>
                </c:pt>
                <c:pt idx="17">
                  <c:v>1.1000000000000001</c:v>
                </c:pt>
                <c:pt idx="18">
                  <c:v>1.1299999999999999</c:v>
                </c:pt>
                <c:pt idx="1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D6-47CA-A975-950FC994E245}"/>
            </c:ext>
          </c:extLst>
        </c:ser>
        <c:ser>
          <c:idx val="5"/>
          <c:order val="5"/>
          <c:tx>
            <c:strRef>
              <c:f>'random order'!$G$1</c:f>
              <c:strCache>
                <c:ptCount val="1"/>
                <c:pt idx="0">
                  <c:v>real_ext4</c:v>
                </c:pt>
              </c:strCache>
            </c:strRef>
          </c:tx>
          <c:spPr>
            <a:ln w="28575" cap="rnd" cmpd="dbl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'random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'random order'!$G$2:$G$21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0.24</c:v>
                </c:pt>
                <c:pt idx="4">
                  <c:v>0.34</c:v>
                </c:pt>
                <c:pt idx="5">
                  <c:v>0.42</c:v>
                </c:pt>
                <c:pt idx="6">
                  <c:v>0.61</c:v>
                </c:pt>
                <c:pt idx="7">
                  <c:v>0.7</c:v>
                </c:pt>
                <c:pt idx="8">
                  <c:v>0.93</c:v>
                </c:pt>
                <c:pt idx="9">
                  <c:v>1.08</c:v>
                </c:pt>
                <c:pt idx="10">
                  <c:v>1.31</c:v>
                </c:pt>
                <c:pt idx="11">
                  <c:v>1.49</c:v>
                </c:pt>
                <c:pt idx="12">
                  <c:v>1.58</c:v>
                </c:pt>
                <c:pt idx="13">
                  <c:v>1.71</c:v>
                </c:pt>
                <c:pt idx="14">
                  <c:v>1.9</c:v>
                </c:pt>
                <c:pt idx="15">
                  <c:v>2.09</c:v>
                </c:pt>
                <c:pt idx="16">
                  <c:v>2.2599999999999998</c:v>
                </c:pt>
                <c:pt idx="17">
                  <c:v>2.4700000000000002</c:v>
                </c:pt>
                <c:pt idx="18">
                  <c:v>2.68</c:v>
                </c:pt>
                <c:pt idx="19">
                  <c:v>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D6-47CA-A975-950FC994E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697432"/>
        <c:axId val="622699952"/>
      </c:lineChart>
      <c:catAx>
        <c:axId val="62269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2699952"/>
        <c:crosses val="autoZero"/>
        <c:auto val="1"/>
        <c:lblAlgn val="ctr"/>
        <c:lblOffset val="100"/>
        <c:noMultiLvlLbl val="0"/>
      </c:catAx>
      <c:valAx>
        <c:axId val="6226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269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线性增长分析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0108965864663298E-2"/>
          <c:y val="0.31016314376016224"/>
          <c:w val="0.86538477544270809"/>
          <c:h val="0.54550815718800816"/>
        </c:manualLayout>
      </c:layout>
      <c:lineChart>
        <c:grouping val="standard"/>
        <c:varyColors val="0"/>
        <c:ser>
          <c:idx val="0"/>
          <c:order val="0"/>
          <c:tx>
            <c:strRef>
              <c:f>'random order'!$I$1</c:f>
              <c:strCache>
                <c:ptCount val="1"/>
                <c:pt idx="0">
                  <c:v>ratio_xfs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'random order'!$H$2:$H$21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'random order'!$I$2:$I$21</c:f>
              <c:numCache>
                <c:formatCode>0.00_);[Red]\(0.00\)</c:formatCode>
                <c:ptCount val="20"/>
                <c:pt idx="0">
                  <c:v>1</c:v>
                </c:pt>
                <c:pt idx="1">
                  <c:v>1.0714285714285714</c:v>
                </c:pt>
                <c:pt idx="2">
                  <c:v>1.0952380952380951</c:v>
                </c:pt>
                <c:pt idx="3">
                  <c:v>1.0357142857142856</c:v>
                </c:pt>
                <c:pt idx="4">
                  <c:v>1.0571428571428572</c:v>
                </c:pt>
                <c:pt idx="5">
                  <c:v>1.1190476190476188</c:v>
                </c:pt>
                <c:pt idx="6">
                  <c:v>1.1632653061224487</c:v>
                </c:pt>
                <c:pt idx="7">
                  <c:v>1.232142857142857</c:v>
                </c:pt>
                <c:pt idx="8">
                  <c:v>1.1746031746031746</c:v>
                </c:pt>
                <c:pt idx="9">
                  <c:v>1.1999999999999997</c:v>
                </c:pt>
                <c:pt idx="10">
                  <c:v>1.4935064935064934</c:v>
                </c:pt>
                <c:pt idx="11">
                  <c:v>1.2380952380952379</c:v>
                </c:pt>
                <c:pt idx="12">
                  <c:v>1.2967032967032965</c:v>
                </c:pt>
                <c:pt idx="13">
                  <c:v>1.3367346938775508</c:v>
                </c:pt>
                <c:pt idx="14">
                  <c:v>1.3999999999999997</c:v>
                </c:pt>
                <c:pt idx="15">
                  <c:v>1.375</c:v>
                </c:pt>
                <c:pt idx="16">
                  <c:v>1.3781512605042014</c:v>
                </c:pt>
                <c:pt idx="17">
                  <c:v>1.4365079365079363</c:v>
                </c:pt>
                <c:pt idx="18">
                  <c:v>1.4736842105263157</c:v>
                </c:pt>
                <c:pt idx="19">
                  <c:v>1.7357142857142858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3-402C-8E7E-820E8D35A647}"/>
            </c:ext>
          </c:extLst>
        </c:ser>
        <c:ser>
          <c:idx val="1"/>
          <c:order val="1"/>
          <c:tx>
            <c:strRef>
              <c:f>'random order'!$J$1</c:f>
              <c:strCache>
                <c:ptCount val="1"/>
                <c:pt idx="0">
                  <c:v>ratio_ext4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'random order'!$H$2:$H$21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'random order'!$J$2:$J$21</c:f>
              <c:numCache>
                <c:formatCode>0.00_);[Red]\(0.00\)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0.99999999999999989</c:v>
                </c:pt>
                <c:pt idx="3">
                  <c:v>1.2</c:v>
                </c:pt>
                <c:pt idx="4">
                  <c:v>1.3599999999999999</c:v>
                </c:pt>
                <c:pt idx="5">
                  <c:v>1.3999999999999997</c:v>
                </c:pt>
                <c:pt idx="6">
                  <c:v>1.7428571428571427</c:v>
                </c:pt>
                <c:pt idx="7">
                  <c:v>1.7499999999999998</c:v>
                </c:pt>
                <c:pt idx="8">
                  <c:v>2.0666666666666669</c:v>
                </c:pt>
                <c:pt idx="9">
                  <c:v>2.16</c:v>
                </c:pt>
                <c:pt idx="10">
                  <c:v>2.3818181818181818</c:v>
                </c:pt>
                <c:pt idx="11">
                  <c:v>2.4833333333333329</c:v>
                </c:pt>
                <c:pt idx="12">
                  <c:v>2.430769230769231</c:v>
                </c:pt>
                <c:pt idx="13">
                  <c:v>2.4428571428571426</c:v>
                </c:pt>
                <c:pt idx="14">
                  <c:v>2.5333333333333328</c:v>
                </c:pt>
                <c:pt idx="15">
                  <c:v>2.6124999999999998</c:v>
                </c:pt>
                <c:pt idx="16">
                  <c:v>2.6588235294117646</c:v>
                </c:pt>
                <c:pt idx="17">
                  <c:v>2.7444444444444445</c:v>
                </c:pt>
                <c:pt idx="18">
                  <c:v>2.8210526315789473</c:v>
                </c:pt>
                <c:pt idx="19">
                  <c:v>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3-402C-8E7E-820E8D35A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753200"/>
        <c:axId val="745756800"/>
      </c:lineChart>
      <c:catAx>
        <c:axId val="74575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5756800"/>
        <c:crosses val="autoZero"/>
        <c:auto val="1"/>
        <c:lblAlgn val="ctr"/>
        <c:lblOffset val="100"/>
        <c:noMultiLvlLbl val="0"/>
      </c:catAx>
      <c:valAx>
        <c:axId val="74575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575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xfs vs ext4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'asc order'!$B$1</c:f>
              <c:strCache>
                <c:ptCount val="1"/>
                <c:pt idx="0">
                  <c:v>user_xfs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'asc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'asc order'!$B$2:$B$21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0.02</c:v>
                </c:pt>
                <c:pt idx="8">
                  <c:v>0.02</c:v>
                </c:pt>
                <c:pt idx="9">
                  <c:v>0.04</c:v>
                </c:pt>
                <c:pt idx="10">
                  <c:v>0.03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0.09</c:v>
                </c:pt>
                <c:pt idx="17">
                  <c:v>0.09</c:v>
                </c:pt>
                <c:pt idx="18">
                  <c:v>7.0000000000000007E-2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8-4464-98A0-5F35063FBE40}"/>
            </c:ext>
          </c:extLst>
        </c:ser>
        <c:ser>
          <c:idx val="1"/>
          <c:order val="1"/>
          <c:tx>
            <c:strRef>
              <c:f>'asc order'!$C$1</c:f>
              <c:strCache>
                <c:ptCount val="1"/>
                <c:pt idx="0">
                  <c:v>sys_xfs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'asc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'asc order'!$C$2:$C$21</c:f>
              <c:numCache>
                <c:formatCode>General</c:formatCode>
                <c:ptCount val="20"/>
                <c:pt idx="0">
                  <c:v>7.0000000000000007E-2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  <c:pt idx="4">
                  <c:v>0.33</c:v>
                </c:pt>
                <c:pt idx="5">
                  <c:v>0.35</c:v>
                </c:pt>
                <c:pt idx="6">
                  <c:v>0.38</c:v>
                </c:pt>
                <c:pt idx="7">
                  <c:v>0.41</c:v>
                </c:pt>
                <c:pt idx="8">
                  <c:v>0.44</c:v>
                </c:pt>
                <c:pt idx="9">
                  <c:v>0.5</c:v>
                </c:pt>
                <c:pt idx="10">
                  <c:v>0.54</c:v>
                </c:pt>
                <c:pt idx="11">
                  <c:v>0.56000000000000005</c:v>
                </c:pt>
                <c:pt idx="12">
                  <c:v>0.64</c:v>
                </c:pt>
                <c:pt idx="13">
                  <c:v>0.66</c:v>
                </c:pt>
                <c:pt idx="14">
                  <c:v>0.71</c:v>
                </c:pt>
                <c:pt idx="15">
                  <c:v>0.99</c:v>
                </c:pt>
                <c:pt idx="16">
                  <c:v>1.04</c:v>
                </c:pt>
                <c:pt idx="17">
                  <c:v>0.96</c:v>
                </c:pt>
                <c:pt idx="18">
                  <c:v>0.91</c:v>
                </c:pt>
                <c:pt idx="19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8-4464-98A0-5F35063FBE40}"/>
            </c:ext>
          </c:extLst>
        </c:ser>
        <c:ser>
          <c:idx val="2"/>
          <c:order val="2"/>
          <c:tx>
            <c:strRef>
              <c:f>'asc order'!$D$1</c:f>
              <c:strCache>
                <c:ptCount val="1"/>
                <c:pt idx="0">
                  <c:v>real_xfs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'asc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'asc order'!$D$2:$D$21</c:f>
              <c:numCache>
                <c:formatCode>General</c:formatCode>
                <c:ptCount val="20"/>
                <c:pt idx="0">
                  <c:v>0.09</c:v>
                </c:pt>
                <c:pt idx="1">
                  <c:v>0.15</c:v>
                </c:pt>
                <c:pt idx="2">
                  <c:v>0.24</c:v>
                </c:pt>
                <c:pt idx="3">
                  <c:v>0.32</c:v>
                </c:pt>
                <c:pt idx="4">
                  <c:v>0.44</c:v>
                </c:pt>
                <c:pt idx="5">
                  <c:v>0.47</c:v>
                </c:pt>
                <c:pt idx="6">
                  <c:v>0.5</c:v>
                </c:pt>
                <c:pt idx="7">
                  <c:v>0.54</c:v>
                </c:pt>
                <c:pt idx="8">
                  <c:v>0.56000000000000005</c:v>
                </c:pt>
                <c:pt idx="9">
                  <c:v>0.65</c:v>
                </c:pt>
                <c:pt idx="10">
                  <c:v>0.71</c:v>
                </c:pt>
                <c:pt idx="11">
                  <c:v>0.73</c:v>
                </c:pt>
                <c:pt idx="12">
                  <c:v>0.84</c:v>
                </c:pt>
                <c:pt idx="13">
                  <c:v>0.87</c:v>
                </c:pt>
                <c:pt idx="14">
                  <c:v>0.96</c:v>
                </c:pt>
                <c:pt idx="15">
                  <c:v>1.36</c:v>
                </c:pt>
                <c:pt idx="16">
                  <c:v>1.44</c:v>
                </c:pt>
                <c:pt idx="17">
                  <c:v>1.38</c:v>
                </c:pt>
                <c:pt idx="18">
                  <c:v>1.2</c:v>
                </c:pt>
                <c:pt idx="19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D8-4464-98A0-5F35063FBE40}"/>
            </c:ext>
          </c:extLst>
        </c:ser>
        <c:ser>
          <c:idx val="3"/>
          <c:order val="3"/>
          <c:tx>
            <c:strRef>
              <c:f>'asc order'!$E$1</c:f>
              <c:strCache>
                <c:ptCount val="1"/>
                <c:pt idx="0">
                  <c:v>user_ext4</c:v>
                </c:pt>
              </c:strCache>
            </c:strRef>
          </c:tx>
          <c:spPr>
            <a:ln w="28575" cap="rnd" cmpd="dbl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'asc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'asc order'!$E$2:$E$21</c:f>
              <c:numCache>
                <c:formatCode>General</c:formatCode>
                <c:ptCount val="2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0.04</c:v>
                </c:pt>
                <c:pt idx="10">
                  <c:v>0.05</c:v>
                </c:pt>
                <c:pt idx="11">
                  <c:v>0.05</c:v>
                </c:pt>
                <c:pt idx="12">
                  <c:v>0.03</c:v>
                </c:pt>
                <c:pt idx="13">
                  <c:v>0.05</c:v>
                </c:pt>
                <c:pt idx="14">
                  <c:v>0.06</c:v>
                </c:pt>
                <c:pt idx="15">
                  <c:v>0.08</c:v>
                </c:pt>
                <c:pt idx="16">
                  <c:v>0.05</c:v>
                </c:pt>
                <c:pt idx="17">
                  <c:v>0.1</c:v>
                </c:pt>
                <c:pt idx="18">
                  <c:v>0.1</c:v>
                </c:pt>
                <c:pt idx="1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D8-4464-98A0-5F35063FBE40}"/>
            </c:ext>
          </c:extLst>
        </c:ser>
        <c:ser>
          <c:idx val="4"/>
          <c:order val="4"/>
          <c:tx>
            <c:strRef>
              <c:f>'asc order'!$F$1</c:f>
              <c:strCache>
                <c:ptCount val="1"/>
                <c:pt idx="0">
                  <c:v>sys_ext4</c:v>
                </c:pt>
              </c:strCache>
            </c:strRef>
          </c:tx>
          <c:spPr>
            <a:ln w="28575" cap="rnd" cmpd="dbl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'asc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'asc order'!$F$2:$F$21</c:f>
              <c:numCache>
                <c:formatCode>General</c:formatCode>
                <c:ptCount val="20"/>
                <c:pt idx="0">
                  <c:v>0.05</c:v>
                </c:pt>
                <c:pt idx="1">
                  <c:v>0.09</c:v>
                </c:pt>
                <c:pt idx="2">
                  <c:v>0.15</c:v>
                </c:pt>
                <c:pt idx="3">
                  <c:v>0.18</c:v>
                </c:pt>
                <c:pt idx="4">
                  <c:v>0.2</c:v>
                </c:pt>
                <c:pt idx="5">
                  <c:v>0.25</c:v>
                </c:pt>
                <c:pt idx="6">
                  <c:v>0.27</c:v>
                </c:pt>
                <c:pt idx="7">
                  <c:v>0.33</c:v>
                </c:pt>
                <c:pt idx="8">
                  <c:v>0.35</c:v>
                </c:pt>
                <c:pt idx="9">
                  <c:v>0.57999999999999996</c:v>
                </c:pt>
                <c:pt idx="10">
                  <c:v>0.6</c:v>
                </c:pt>
                <c:pt idx="11">
                  <c:v>0.63</c:v>
                </c:pt>
                <c:pt idx="12">
                  <c:v>0.55000000000000004</c:v>
                </c:pt>
                <c:pt idx="13">
                  <c:v>0.68</c:v>
                </c:pt>
                <c:pt idx="14">
                  <c:v>0.67</c:v>
                </c:pt>
                <c:pt idx="15">
                  <c:v>0.85</c:v>
                </c:pt>
                <c:pt idx="16">
                  <c:v>0.73</c:v>
                </c:pt>
                <c:pt idx="17">
                  <c:v>0.83</c:v>
                </c:pt>
                <c:pt idx="18">
                  <c:v>1.08</c:v>
                </c:pt>
                <c:pt idx="1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D8-4464-98A0-5F35063FBE40}"/>
            </c:ext>
          </c:extLst>
        </c:ser>
        <c:ser>
          <c:idx val="5"/>
          <c:order val="5"/>
          <c:tx>
            <c:strRef>
              <c:f>'asc order'!$G$1</c:f>
              <c:strCache>
                <c:ptCount val="1"/>
                <c:pt idx="0">
                  <c:v>real_ext4</c:v>
                </c:pt>
              </c:strCache>
            </c:strRef>
          </c:tx>
          <c:spPr>
            <a:ln w="28575" cap="rnd" cmpd="dbl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'asc order'!$A$2:$A$21</c:f>
              <c:numCache>
                <c:formatCode>General</c:formatCode>
                <c:ptCount val="2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</c:numCache>
            </c:numRef>
          </c:cat>
          <c:val>
            <c:numRef>
              <c:f>'asc order'!$G$2:$G$21</c:f>
              <c:numCache>
                <c:formatCode>General</c:formatCode>
                <c:ptCount val="20"/>
                <c:pt idx="0">
                  <c:v>7.0000000000000007E-2</c:v>
                </c:pt>
                <c:pt idx="1">
                  <c:v>0.11</c:v>
                </c:pt>
                <c:pt idx="2">
                  <c:v>0.17</c:v>
                </c:pt>
                <c:pt idx="3">
                  <c:v>0.23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0.41</c:v>
                </c:pt>
                <c:pt idx="8">
                  <c:v>0.46</c:v>
                </c:pt>
                <c:pt idx="9">
                  <c:v>0.73</c:v>
                </c:pt>
                <c:pt idx="10">
                  <c:v>0.76</c:v>
                </c:pt>
                <c:pt idx="11">
                  <c:v>0.81</c:v>
                </c:pt>
                <c:pt idx="12">
                  <c:v>0.67</c:v>
                </c:pt>
                <c:pt idx="13">
                  <c:v>0.84</c:v>
                </c:pt>
                <c:pt idx="14">
                  <c:v>0.85</c:v>
                </c:pt>
                <c:pt idx="15">
                  <c:v>1.0900000000000001</c:v>
                </c:pt>
                <c:pt idx="16">
                  <c:v>0.89</c:v>
                </c:pt>
                <c:pt idx="17">
                  <c:v>1.07</c:v>
                </c:pt>
                <c:pt idx="18">
                  <c:v>1.36</c:v>
                </c:pt>
                <c:pt idx="19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D8-4464-98A0-5F35063FB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657000"/>
        <c:axId val="614654480"/>
      </c:lineChart>
      <c:catAx>
        <c:axId val="614657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654480"/>
        <c:crosses val="autoZero"/>
        <c:auto val="1"/>
        <c:lblAlgn val="ctr"/>
        <c:lblOffset val="100"/>
        <c:noMultiLvlLbl val="0"/>
      </c:catAx>
      <c:valAx>
        <c:axId val="6146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65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线性增长分析</a:t>
            </a:r>
          </a:p>
        </c:rich>
      </c:tx>
      <c:layout>
        <c:manualLayout>
          <c:xMode val="edge"/>
          <c:yMode val="edge"/>
          <c:x val="0.41388888888888892"/>
          <c:y val="4.6403712296983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'asc order'!$I$1</c:f>
              <c:strCache>
                <c:ptCount val="1"/>
                <c:pt idx="0">
                  <c:v>ratio_xfs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'asc order'!$H$2:$H$21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'asc order'!$I$2:$I$21</c:f>
              <c:numCache>
                <c:formatCode>0.00_);[Red]\(0.00\)</c:formatCode>
                <c:ptCount val="20"/>
                <c:pt idx="0">
                  <c:v>1</c:v>
                </c:pt>
                <c:pt idx="1">
                  <c:v>0.83333333333333337</c:v>
                </c:pt>
                <c:pt idx="2">
                  <c:v>0.88888888888888884</c:v>
                </c:pt>
                <c:pt idx="3">
                  <c:v>0.88888888888888895</c:v>
                </c:pt>
                <c:pt idx="4">
                  <c:v>0.97777777777777786</c:v>
                </c:pt>
                <c:pt idx="5">
                  <c:v>0.87037037037037035</c:v>
                </c:pt>
                <c:pt idx="6">
                  <c:v>0.79365079365079361</c:v>
                </c:pt>
                <c:pt idx="7">
                  <c:v>0.75000000000000011</c:v>
                </c:pt>
                <c:pt idx="8">
                  <c:v>0.6913580246913581</c:v>
                </c:pt>
                <c:pt idx="9">
                  <c:v>0.72222222222222221</c:v>
                </c:pt>
                <c:pt idx="10">
                  <c:v>0.71717171717171713</c:v>
                </c:pt>
                <c:pt idx="11">
                  <c:v>0.67592592592592593</c:v>
                </c:pt>
                <c:pt idx="12">
                  <c:v>0.71794871794871795</c:v>
                </c:pt>
                <c:pt idx="13">
                  <c:v>0.69047619047619058</c:v>
                </c:pt>
                <c:pt idx="14">
                  <c:v>0.71111111111111103</c:v>
                </c:pt>
                <c:pt idx="15">
                  <c:v>0.94444444444444453</c:v>
                </c:pt>
                <c:pt idx="16">
                  <c:v>0.94117647058823528</c:v>
                </c:pt>
                <c:pt idx="17">
                  <c:v>0.85185185185185175</c:v>
                </c:pt>
                <c:pt idx="18">
                  <c:v>0.70175438596491235</c:v>
                </c:pt>
                <c:pt idx="19">
                  <c:v>0.71666666666666667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4-410B-A056-0932B7920F98}"/>
            </c:ext>
          </c:extLst>
        </c:ser>
        <c:ser>
          <c:idx val="1"/>
          <c:order val="1"/>
          <c:tx>
            <c:strRef>
              <c:f>'asc order'!$J$1</c:f>
              <c:strCache>
                <c:ptCount val="1"/>
                <c:pt idx="0">
                  <c:v>ratio_ext4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'asc order'!$H$2:$H$21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'asc order'!$J$2:$J$21</c:f>
              <c:numCache>
                <c:formatCode>0.00_);[Red]\(0.00\)</c:formatCode>
                <c:ptCount val="20"/>
                <c:pt idx="0">
                  <c:v>1</c:v>
                </c:pt>
                <c:pt idx="1">
                  <c:v>0.7857142857142857</c:v>
                </c:pt>
                <c:pt idx="2">
                  <c:v>0.80952380952380942</c:v>
                </c:pt>
                <c:pt idx="3">
                  <c:v>0.8214285714285714</c:v>
                </c:pt>
                <c:pt idx="4">
                  <c:v>0.71428571428571419</c:v>
                </c:pt>
                <c:pt idx="5">
                  <c:v>0.7142857142857143</c:v>
                </c:pt>
                <c:pt idx="6">
                  <c:v>0.71428571428571419</c:v>
                </c:pt>
                <c:pt idx="7">
                  <c:v>0.73214285714285698</c:v>
                </c:pt>
                <c:pt idx="8">
                  <c:v>0.73015873015873012</c:v>
                </c:pt>
                <c:pt idx="9">
                  <c:v>1.0428571428571427</c:v>
                </c:pt>
                <c:pt idx="10">
                  <c:v>0.9870129870129869</c:v>
                </c:pt>
                <c:pt idx="11">
                  <c:v>0.9642857142857143</c:v>
                </c:pt>
                <c:pt idx="12">
                  <c:v>0.7362637362637362</c:v>
                </c:pt>
                <c:pt idx="13">
                  <c:v>0.85714285714285698</c:v>
                </c:pt>
                <c:pt idx="14">
                  <c:v>0.80952380952380942</c:v>
                </c:pt>
                <c:pt idx="15">
                  <c:v>0.9732142857142857</c:v>
                </c:pt>
                <c:pt idx="16">
                  <c:v>0.74789915966386555</c:v>
                </c:pt>
                <c:pt idx="17">
                  <c:v>0.84920634920634919</c:v>
                </c:pt>
                <c:pt idx="18">
                  <c:v>1.0225563909774436</c:v>
                </c:pt>
                <c:pt idx="19">
                  <c:v>1.0071428571428569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24-410B-A056-0932B7920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439584"/>
        <c:axId val="742446064"/>
      </c:lineChart>
      <c:catAx>
        <c:axId val="7424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446064"/>
        <c:crosses val="autoZero"/>
        <c:auto val="1"/>
        <c:lblAlgn val="ctr"/>
        <c:lblOffset val="100"/>
        <c:noMultiLvlLbl val="0"/>
      </c:catAx>
      <c:valAx>
        <c:axId val="7424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43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304799</xdr:colOff>
      <xdr:row>4</xdr:row>
      <xdr:rowOff>153985</xdr:rowOff>
    </xdr:from>
    <xdr:to>
      <xdr:col>22</xdr:col>
      <xdr:colOff>133349</xdr:colOff>
      <xdr:row>31</xdr:row>
      <xdr:rowOff>22224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9C915C1-AA62-3059-B66C-8362BD847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49212</xdr:colOff>
      <xdr:row>23</xdr:row>
      <xdr:rowOff>160337</xdr:rowOff>
    </xdr:from>
    <xdr:to>
      <xdr:col>9</xdr:col>
      <xdr:colOff>7937</xdr:colOff>
      <xdr:row>39</xdr:row>
      <xdr:rowOff>1587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2264A8F-BCCC-8BAB-BDE6-FDEE87635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239712</xdr:colOff>
      <xdr:row>4</xdr:row>
      <xdr:rowOff>144461</xdr:rowOff>
    </xdr:from>
    <xdr:to>
      <xdr:col>19</xdr:col>
      <xdr:colOff>533400</xdr:colOff>
      <xdr:row>26</xdr:row>
      <xdr:rowOff>9524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B5E565D-DB57-F9D4-981D-E0A479CCF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209550</xdr:colOff>
      <xdr:row>23</xdr:row>
      <xdr:rowOff>150812</xdr:rowOff>
    </xdr:from>
    <xdr:to>
      <xdr:col>9</xdr:col>
      <xdr:colOff>180975</xdr:colOff>
      <xdr:row>38</xdr:row>
      <xdr:rowOff>173037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9B02FE3-05BD-55DA-D80B-8B6C5B285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J2" sqref="J2"/>
    </sheetView>
  </sheetViews>
  <sheetFormatPr defaultRowHeight="14" x14ac:dyDescent="0.3"/>
  <cols>
    <col min="8" max="8" width="10.4140625" customWidth="1"/>
  </cols>
  <sheetData>
    <row r="1" spans="1:10" x14ac:dyDescent="0.3">
      <c r="A1" t="s">
        <v>0</v>
      </c>
      <c r="B1" t="s">
        <v>6</v>
      </c>
      <c r="C1" t="s">
        <v>7</v>
      </c>
      <c r="D1" t="s">
        <v>8</v>
      </c>
      <c r="E1" t="s">
        <v>3</v>
      </c>
      <c r="F1" t="s">
        <v>4</v>
      </c>
      <c r="G1" t="s">
        <v>5</v>
      </c>
      <c r="H1" s="1" t="s">
        <v>11</v>
      </c>
      <c r="I1" s="1" t="s">
        <v>9</v>
      </c>
      <c r="J1" s="1" t="s">
        <v>10</v>
      </c>
    </row>
    <row r="2" spans="1:10" x14ac:dyDescent="0.3">
      <c r="A2">
        <v>1000</v>
      </c>
      <c r="B2">
        <v>0.01</v>
      </c>
      <c r="C2">
        <v>0.04</v>
      </c>
      <c r="D2">
        <v>7.0000000000000007E-2</v>
      </c>
      <c r="E2">
        <v>0</v>
      </c>
      <c r="F2">
        <v>0.04</v>
      </c>
      <c r="G2">
        <v>0.05</v>
      </c>
      <c r="H2" s="1">
        <v>1</v>
      </c>
      <c r="I2" s="2">
        <f>D2/0.07/H2</f>
        <v>1</v>
      </c>
      <c r="J2" s="2">
        <f>G2/0.05/H2</f>
        <v>1</v>
      </c>
    </row>
    <row r="3" spans="1:10" x14ac:dyDescent="0.3">
      <c r="A3">
        <v>2000</v>
      </c>
      <c r="B3">
        <v>0.01</v>
      </c>
      <c r="C3">
        <v>0.11</v>
      </c>
      <c r="D3">
        <v>0.15</v>
      </c>
      <c r="E3">
        <v>0.01</v>
      </c>
      <c r="F3">
        <v>0.09</v>
      </c>
      <c r="G3">
        <v>0.1</v>
      </c>
      <c r="H3" s="1">
        <v>2</v>
      </c>
      <c r="I3" s="2">
        <f>D3/0.07/H3</f>
        <v>1.0714285714285714</v>
      </c>
      <c r="J3" s="2">
        <f>G3/0.05/H3</f>
        <v>1</v>
      </c>
    </row>
    <row r="4" spans="1:10" x14ac:dyDescent="0.3">
      <c r="A4">
        <v>3000</v>
      </c>
      <c r="B4">
        <v>0.02</v>
      </c>
      <c r="C4">
        <v>0.17</v>
      </c>
      <c r="D4">
        <v>0.23</v>
      </c>
      <c r="E4">
        <v>0.02</v>
      </c>
      <c r="F4">
        <v>0.12</v>
      </c>
      <c r="G4">
        <v>0.15</v>
      </c>
      <c r="H4" s="1">
        <v>3</v>
      </c>
      <c r="I4" s="2">
        <f t="shared" ref="I4:I21" si="0">D4/0.07/H4</f>
        <v>1.0952380952380951</v>
      </c>
      <c r="J4" s="2">
        <f t="shared" ref="J4:J21" si="1">G4/0.05/H4</f>
        <v>0.99999999999999989</v>
      </c>
    </row>
    <row r="5" spans="1:10" x14ac:dyDescent="0.3">
      <c r="A5">
        <v>4000</v>
      </c>
      <c r="B5">
        <v>0.02</v>
      </c>
      <c r="C5">
        <v>0.21</v>
      </c>
      <c r="D5">
        <v>0.28999999999999998</v>
      </c>
      <c r="E5">
        <v>0.04</v>
      </c>
      <c r="F5">
        <v>0.17</v>
      </c>
      <c r="G5">
        <v>0.24</v>
      </c>
      <c r="H5" s="1">
        <v>4</v>
      </c>
      <c r="I5" s="2">
        <f t="shared" si="0"/>
        <v>1.0357142857142856</v>
      </c>
      <c r="J5" s="2">
        <f t="shared" si="1"/>
        <v>1.2</v>
      </c>
    </row>
    <row r="6" spans="1:10" x14ac:dyDescent="0.3">
      <c r="A6">
        <v>5000</v>
      </c>
      <c r="B6">
        <v>0.04</v>
      </c>
      <c r="C6">
        <v>0.26</v>
      </c>
      <c r="D6">
        <v>0.37</v>
      </c>
      <c r="E6">
        <v>0.05</v>
      </c>
      <c r="F6">
        <v>0.21</v>
      </c>
      <c r="G6">
        <v>0.34</v>
      </c>
      <c r="H6" s="1">
        <v>5</v>
      </c>
      <c r="I6" s="2">
        <f t="shared" si="0"/>
        <v>1.0571428571428572</v>
      </c>
      <c r="J6" s="2">
        <f t="shared" si="1"/>
        <v>1.3599999999999999</v>
      </c>
    </row>
    <row r="7" spans="1:10" x14ac:dyDescent="0.3">
      <c r="A7">
        <v>6000</v>
      </c>
      <c r="B7">
        <v>0.05</v>
      </c>
      <c r="C7">
        <v>0.33</v>
      </c>
      <c r="D7">
        <v>0.47</v>
      </c>
      <c r="E7">
        <v>0.05</v>
      </c>
      <c r="F7">
        <v>0.27</v>
      </c>
      <c r="G7">
        <v>0.42</v>
      </c>
      <c r="H7" s="1">
        <v>6</v>
      </c>
      <c r="I7" s="2">
        <f t="shared" si="0"/>
        <v>1.1190476190476188</v>
      </c>
      <c r="J7" s="2">
        <f t="shared" si="1"/>
        <v>1.3999999999999997</v>
      </c>
    </row>
    <row r="8" spans="1:10" x14ac:dyDescent="0.3">
      <c r="A8">
        <v>7000</v>
      </c>
      <c r="B8">
        <v>0.08</v>
      </c>
      <c r="C8">
        <v>0.38</v>
      </c>
      <c r="D8">
        <v>0.56999999999999995</v>
      </c>
      <c r="E8">
        <v>0.09</v>
      </c>
      <c r="F8">
        <v>0.33</v>
      </c>
      <c r="G8">
        <v>0.61</v>
      </c>
      <c r="H8" s="1">
        <v>7</v>
      </c>
      <c r="I8" s="2">
        <f t="shared" si="0"/>
        <v>1.1632653061224487</v>
      </c>
      <c r="J8" s="2">
        <f t="shared" si="1"/>
        <v>1.7428571428571427</v>
      </c>
    </row>
    <row r="9" spans="1:10" x14ac:dyDescent="0.3">
      <c r="A9">
        <v>8000</v>
      </c>
      <c r="B9">
        <v>0.1</v>
      </c>
      <c r="C9">
        <v>0.46</v>
      </c>
      <c r="D9">
        <v>0.69</v>
      </c>
      <c r="E9">
        <v>0.09</v>
      </c>
      <c r="F9">
        <v>0.39</v>
      </c>
      <c r="G9">
        <v>0.7</v>
      </c>
      <c r="H9" s="1">
        <v>8</v>
      </c>
      <c r="I9" s="2">
        <f t="shared" si="0"/>
        <v>1.232142857142857</v>
      </c>
      <c r="J9" s="2">
        <f t="shared" si="1"/>
        <v>1.7499999999999998</v>
      </c>
    </row>
    <row r="10" spans="1:10" x14ac:dyDescent="0.3">
      <c r="A10">
        <v>9000</v>
      </c>
      <c r="B10">
        <v>0.15</v>
      </c>
      <c r="C10">
        <v>0.47</v>
      </c>
      <c r="D10">
        <v>0.74</v>
      </c>
      <c r="E10">
        <v>0.12</v>
      </c>
      <c r="F10">
        <v>0.47</v>
      </c>
      <c r="G10">
        <v>0.93</v>
      </c>
      <c r="H10" s="1">
        <v>9</v>
      </c>
      <c r="I10" s="2">
        <f t="shared" si="0"/>
        <v>1.1746031746031746</v>
      </c>
      <c r="J10" s="2">
        <f t="shared" si="1"/>
        <v>2.0666666666666669</v>
      </c>
    </row>
    <row r="11" spans="1:10" x14ac:dyDescent="0.3">
      <c r="A11">
        <v>10000</v>
      </c>
      <c r="B11">
        <v>0.16</v>
      </c>
      <c r="C11">
        <v>0.53</v>
      </c>
      <c r="D11">
        <v>0.84</v>
      </c>
      <c r="E11">
        <v>0.14000000000000001</v>
      </c>
      <c r="F11">
        <v>0.55000000000000004</v>
      </c>
      <c r="G11">
        <v>1.08</v>
      </c>
      <c r="H11" s="1">
        <v>10</v>
      </c>
      <c r="I11" s="2">
        <f t="shared" si="0"/>
        <v>1.1999999999999997</v>
      </c>
      <c r="J11" s="2">
        <f t="shared" si="1"/>
        <v>2.16</v>
      </c>
    </row>
    <row r="12" spans="1:10" x14ac:dyDescent="0.3">
      <c r="A12">
        <v>11000</v>
      </c>
      <c r="B12">
        <v>0.2</v>
      </c>
      <c r="C12">
        <v>0.67</v>
      </c>
      <c r="D12">
        <v>1.1499999999999999</v>
      </c>
      <c r="E12">
        <v>0.16</v>
      </c>
      <c r="F12">
        <v>0.68</v>
      </c>
      <c r="G12">
        <v>1.31</v>
      </c>
      <c r="H12" s="1">
        <v>11</v>
      </c>
      <c r="I12" s="2">
        <f t="shared" si="0"/>
        <v>1.4935064935064934</v>
      </c>
      <c r="J12" s="2">
        <f t="shared" si="1"/>
        <v>2.3818181818181818</v>
      </c>
    </row>
    <row r="13" spans="1:10" x14ac:dyDescent="0.3">
      <c r="A13">
        <v>12000</v>
      </c>
      <c r="B13">
        <v>0.18</v>
      </c>
      <c r="C13">
        <v>0.69</v>
      </c>
      <c r="D13">
        <v>1.04</v>
      </c>
      <c r="E13">
        <v>0.17</v>
      </c>
      <c r="F13">
        <v>0.72</v>
      </c>
      <c r="G13">
        <v>1.49</v>
      </c>
      <c r="H13" s="1">
        <v>12</v>
      </c>
      <c r="I13" s="2">
        <f t="shared" si="0"/>
        <v>1.2380952380952379</v>
      </c>
      <c r="J13" s="2">
        <f t="shared" si="1"/>
        <v>2.4833333333333329</v>
      </c>
    </row>
    <row r="14" spans="1:10" x14ac:dyDescent="0.3">
      <c r="A14">
        <v>13000</v>
      </c>
      <c r="B14">
        <v>0.28000000000000003</v>
      </c>
      <c r="C14">
        <v>0.71</v>
      </c>
      <c r="D14">
        <v>1.18</v>
      </c>
      <c r="E14">
        <v>0.21</v>
      </c>
      <c r="F14">
        <v>0.74</v>
      </c>
      <c r="G14">
        <v>1.58</v>
      </c>
      <c r="H14" s="1">
        <v>13</v>
      </c>
      <c r="I14" s="2">
        <f t="shared" si="0"/>
        <v>1.2967032967032965</v>
      </c>
      <c r="J14" s="2">
        <f t="shared" si="1"/>
        <v>2.430769230769231</v>
      </c>
    </row>
    <row r="15" spans="1:10" x14ac:dyDescent="0.3">
      <c r="A15">
        <v>14000</v>
      </c>
      <c r="B15">
        <v>0.26</v>
      </c>
      <c r="C15">
        <v>0.85</v>
      </c>
      <c r="D15">
        <v>1.31</v>
      </c>
      <c r="E15">
        <v>0.27</v>
      </c>
      <c r="F15">
        <v>0.78</v>
      </c>
      <c r="G15">
        <v>1.71</v>
      </c>
      <c r="H15" s="1">
        <v>14</v>
      </c>
      <c r="I15" s="2">
        <f t="shared" si="0"/>
        <v>1.3367346938775508</v>
      </c>
      <c r="J15" s="2">
        <f t="shared" si="1"/>
        <v>2.4428571428571426</v>
      </c>
    </row>
    <row r="16" spans="1:10" x14ac:dyDescent="0.3">
      <c r="A16">
        <v>15000</v>
      </c>
      <c r="B16">
        <v>0.28999999999999998</v>
      </c>
      <c r="C16">
        <v>0.92</v>
      </c>
      <c r="D16">
        <v>1.47</v>
      </c>
      <c r="E16">
        <v>0.3</v>
      </c>
      <c r="F16">
        <v>0.87</v>
      </c>
      <c r="G16">
        <v>1.9</v>
      </c>
      <c r="H16" s="1">
        <v>15</v>
      </c>
      <c r="I16" s="2">
        <f t="shared" si="0"/>
        <v>1.3999999999999997</v>
      </c>
      <c r="J16" s="2">
        <f t="shared" si="1"/>
        <v>2.5333333333333328</v>
      </c>
    </row>
    <row r="17" spans="1:10" x14ac:dyDescent="0.3">
      <c r="A17">
        <v>16000</v>
      </c>
      <c r="B17">
        <v>0.41</v>
      </c>
      <c r="C17">
        <v>0.9</v>
      </c>
      <c r="D17">
        <v>1.54</v>
      </c>
      <c r="E17">
        <v>0.32</v>
      </c>
      <c r="F17">
        <v>0.93</v>
      </c>
      <c r="G17">
        <v>2.09</v>
      </c>
      <c r="H17" s="1">
        <v>16</v>
      </c>
      <c r="I17" s="2">
        <f t="shared" si="0"/>
        <v>1.375</v>
      </c>
      <c r="J17" s="2">
        <f t="shared" si="1"/>
        <v>2.6124999999999998</v>
      </c>
    </row>
    <row r="18" spans="1:10" x14ac:dyDescent="0.3">
      <c r="A18">
        <v>17000</v>
      </c>
      <c r="B18">
        <v>0.34</v>
      </c>
      <c r="C18">
        <v>1.04</v>
      </c>
      <c r="D18">
        <v>1.64</v>
      </c>
      <c r="E18">
        <v>0.39</v>
      </c>
      <c r="F18">
        <v>0.96</v>
      </c>
      <c r="G18">
        <v>2.2599999999999998</v>
      </c>
      <c r="H18" s="1">
        <v>17</v>
      </c>
      <c r="I18" s="2">
        <f t="shared" si="0"/>
        <v>1.3781512605042014</v>
      </c>
      <c r="J18" s="2">
        <f t="shared" si="1"/>
        <v>2.6588235294117646</v>
      </c>
    </row>
    <row r="19" spans="1:10" x14ac:dyDescent="0.3">
      <c r="A19">
        <v>18000</v>
      </c>
      <c r="B19">
        <v>0.46</v>
      </c>
      <c r="C19">
        <v>1.07</v>
      </c>
      <c r="D19">
        <v>1.81</v>
      </c>
      <c r="E19">
        <v>0.4</v>
      </c>
      <c r="F19">
        <v>1.1000000000000001</v>
      </c>
      <c r="G19">
        <v>2.4700000000000002</v>
      </c>
      <c r="H19" s="1">
        <v>18</v>
      </c>
      <c r="I19" s="2">
        <f t="shared" si="0"/>
        <v>1.4365079365079363</v>
      </c>
      <c r="J19" s="2">
        <f t="shared" si="1"/>
        <v>2.7444444444444445</v>
      </c>
    </row>
    <row r="20" spans="1:10" x14ac:dyDescent="0.3">
      <c r="A20">
        <v>19000</v>
      </c>
      <c r="B20">
        <v>0.56000000000000005</v>
      </c>
      <c r="C20">
        <v>1.1000000000000001</v>
      </c>
      <c r="D20">
        <v>1.96</v>
      </c>
      <c r="E20">
        <v>0.46</v>
      </c>
      <c r="F20">
        <v>1.1299999999999999</v>
      </c>
      <c r="G20">
        <v>2.68</v>
      </c>
      <c r="H20" s="1">
        <v>19</v>
      </c>
      <c r="I20" s="2">
        <f t="shared" si="0"/>
        <v>1.4736842105263157</v>
      </c>
      <c r="J20" s="2">
        <f t="shared" si="1"/>
        <v>2.8210526315789473</v>
      </c>
    </row>
    <row r="21" spans="1:10" x14ac:dyDescent="0.3">
      <c r="A21">
        <v>20000</v>
      </c>
      <c r="B21">
        <v>0.69</v>
      </c>
      <c r="C21">
        <v>1.35</v>
      </c>
      <c r="D21">
        <v>2.4300000000000002</v>
      </c>
      <c r="E21">
        <v>0.54</v>
      </c>
      <c r="F21">
        <v>1.2</v>
      </c>
      <c r="G21">
        <v>2.83</v>
      </c>
      <c r="H21" s="1">
        <v>20</v>
      </c>
      <c r="I21" s="2">
        <f t="shared" si="0"/>
        <v>1.7357142857142858</v>
      </c>
      <c r="J21" s="2">
        <f t="shared" si="1"/>
        <v>2.83</v>
      </c>
    </row>
    <row r="22" spans="1:10" x14ac:dyDescent="0.3">
      <c r="B22" s="3" t="s">
        <v>1</v>
      </c>
      <c r="C22" s="3"/>
      <c r="D22" s="3"/>
      <c r="E22" s="4" t="s">
        <v>2</v>
      </c>
      <c r="F22" s="4"/>
      <c r="G22" s="4"/>
    </row>
  </sheetData>
  <mergeCells count="2">
    <mergeCell ref="B22:D22"/>
    <mergeCell ref="E22:G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5165-DC26-4878-BDFA-C454DA469AC1}">
  <dimension ref="A1:J22"/>
  <sheetViews>
    <sheetView tabSelected="1" topLeftCell="A7" workbookViewId="0">
      <selection activeCell="S33" sqref="S33"/>
    </sheetView>
  </sheetViews>
  <sheetFormatPr defaultRowHeight="14" x14ac:dyDescent="0.3"/>
  <sheetData>
    <row r="1" spans="1:10" x14ac:dyDescent="0.3">
      <c r="A1" t="s">
        <v>0</v>
      </c>
      <c r="B1" t="s">
        <v>6</v>
      </c>
      <c r="C1" t="s">
        <v>7</v>
      </c>
      <c r="D1" t="s">
        <v>8</v>
      </c>
      <c r="E1" t="s">
        <v>3</v>
      </c>
      <c r="F1" t="s">
        <v>4</v>
      </c>
      <c r="G1" t="s">
        <v>5</v>
      </c>
      <c r="H1" s="1" t="s">
        <v>11</v>
      </c>
      <c r="I1" s="1" t="s">
        <v>9</v>
      </c>
      <c r="J1" s="1" t="s">
        <v>10</v>
      </c>
    </row>
    <row r="2" spans="1:10" x14ac:dyDescent="0.3">
      <c r="A2">
        <v>1000</v>
      </c>
      <c r="B2">
        <v>0</v>
      </c>
      <c r="C2">
        <v>7.0000000000000007E-2</v>
      </c>
      <c r="D2">
        <v>0.09</v>
      </c>
      <c r="E2">
        <v>0</v>
      </c>
      <c r="F2">
        <v>0.05</v>
      </c>
      <c r="G2">
        <v>7.0000000000000007E-2</v>
      </c>
      <c r="H2" s="1">
        <v>1</v>
      </c>
      <c r="I2" s="2">
        <f>D2/0.09/H2</f>
        <v>1</v>
      </c>
      <c r="J2" s="2">
        <f>G2/0.07/H2</f>
        <v>1</v>
      </c>
    </row>
    <row r="3" spans="1:10" x14ac:dyDescent="0.3">
      <c r="A3">
        <v>2000</v>
      </c>
      <c r="B3">
        <v>0</v>
      </c>
      <c r="C3">
        <v>0.12</v>
      </c>
      <c r="D3">
        <v>0.15</v>
      </c>
      <c r="E3">
        <v>0.01</v>
      </c>
      <c r="F3">
        <v>0.09</v>
      </c>
      <c r="G3">
        <v>0.11</v>
      </c>
      <c r="H3" s="1">
        <v>2</v>
      </c>
      <c r="I3" s="2">
        <f>D3/0.09/H3</f>
        <v>0.83333333333333337</v>
      </c>
      <c r="J3" s="2">
        <f>G3/0.07/H3</f>
        <v>0.7857142857142857</v>
      </c>
    </row>
    <row r="4" spans="1:10" x14ac:dyDescent="0.3">
      <c r="A4">
        <v>3000</v>
      </c>
      <c r="B4">
        <v>0</v>
      </c>
      <c r="C4">
        <v>0.18</v>
      </c>
      <c r="D4">
        <v>0.24</v>
      </c>
      <c r="E4">
        <v>0.01</v>
      </c>
      <c r="F4">
        <v>0.15</v>
      </c>
      <c r="G4">
        <v>0.17</v>
      </c>
      <c r="H4" s="1">
        <v>3</v>
      </c>
      <c r="I4" s="2">
        <f t="shared" ref="I4:I21" si="0">D4/0.09/H4</f>
        <v>0.88888888888888884</v>
      </c>
      <c r="J4" s="2">
        <f t="shared" ref="J4:J21" si="1">G4/0.07/H4</f>
        <v>0.80952380952380942</v>
      </c>
    </row>
    <row r="5" spans="1:10" x14ac:dyDescent="0.3">
      <c r="A5">
        <v>4000</v>
      </c>
      <c r="B5">
        <v>0.02</v>
      </c>
      <c r="C5">
        <v>0.24</v>
      </c>
      <c r="D5">
        <v>0.32</v>
      </c>
      <c r="E5">
        <v>0.02</v>
      </c>
      <c r="F5">
        <v>0.18</v>
      </c>
      <c r="G5">
        <v>0.23</v>
      </c>
      <c r="H5" s="1">
        <v>4</v>
      </c>
      <c r="I5" s="2">
        <f t="shared" si="0"/>
        <v>0.88888888888888895</v>
      </c>
      <c r="J5" s="2">
        <f t="shared" si="1"/>
        <v>0.8214285714285714</v>
      </c>
    </row>
    <row r="6" spans="1:10" x14ac:dyDescent="0.3">
      <c r="A6">
        <v>5000</v>
      </c>
      <c r="B6">
        <v>0.03</v>
      </c>
      <c r="C6">
        <v>0.33</v>
      </c>
      <c r="D6">
        <v>0.44</v>
      </c>
      <c r="E6">
        <v>0.02</v>
      </c>
      <c r="F6">
        <v>0.2</v>
      </c>
      <c r="G6">
        <v>0.25</v>
      </c>
      <c r="H6" s="1">
        <v>5</v>
      </c>
      <c r="I6" s="2">
        <f t="shared" si="0"/>
        <v>0.97777777777777786</v>
      </c>
      <c r="J6" s="2">
        <f t="shared" si="1"/>
        <v>0.71428571428571419</v>
      </c>
    </row>
    <row r="7" spans="1:10" x14ac:dyDescent="0.3">
      <c r="A7">
        <v>6000</v>
      </c>
      <c r="B7">
        <v>0.03</v>
      </c>
      <c r="C7">
        <v>0.35</v>
      </c>
      <c r="D7">
        <v>0.47</v>
      </c>
      <c r="E7">
        <v>0.02</v>
      </c>
      <c r="F7">
        <v>0.25</v>
      </c>
      <c r="G7">
        <v>0.3</v>
      </c>
      <c r="H7" s="1">
        <v>6</v>
      </c>
      <c r="I7" s="2">
        <f t="shared" si="0"/>
        <v>0.87037037037037035</v>
      </c>
      <c r="J7" s="2">
        <f t="shared" si="1"/>
        <v>0.7142857142857143</v>
      </c>
    </row>
    <row r="8" spans="1:10" x14ac:dyDescent="0.3">
      <c r="A8">
        <v>7000</v>
      </c>
      <c r="B8">
        <v>0.03</v>
      </c>
      <c r="C8">
        <v>0.38</v>
      </c>
      <c r="D8">
        <v>0.5</v>
      </c>
      <c r="E8">
        <v>0.02</v>
      </c>
      <c r="F8">
        <v>0.27</v>
      </c>
      <c r="G8">
        <v>0.35</v>
      </c>
      <c r="H8" s="1">
        <v>7</v>
      </c>
      <c r="I8" s="2">
        <f t="shared" si="0"/>
        <v>0.79365079365079361</v>
      </c>
      <c r="J8" s="2">
        <f t="shared" si="1"/>
        <v>0.71428571428571419</v>
      </c>
    </row>
    <row r="9" spans="1:10" x14ac:dyDescent="0.3">
      <c r="A9">
        <v>8000</v>
      </c>
      <c r="B9">
        <v>0.02</v>
      </c>
      <c r="C9">
        <v>0.41</v>
      </c>
      <c r="D9">
        <v>0.54</v>
      </c>
      <c r="E9">
        <v>0.03</v>
      </c>
      <c r="F9">
        <v>0.33</v>
      </c>
      <c r="G9">
        <v>0.41</v>
      </c>
      <c r="H9" s="1">
        <v>8</v>
      </c>
      <c r="I9" s="2">
        <f t="shared" si="0"/>
        <v>0.75000000000000011</v>
      </c>
      <c r="J9" s="2">
        <f t="shared" si="1"/>
        <v>0.73214285714285698</v>
      </c>
    </row>
    <row r="10" spans="1:10" x14ac:dyDescent="0.3">
      <c r="A10">
        <v>9000</v>
      </c>
      <c r="B10">
        <v>0.02</v>
      </c>
      <c r="C10">
        <v>0.44</v>
      </c>
      <c r="D10">
        <v>0.56000000000000005</v>
      </c>
      <c r="E10">
        <v>0.03</v>
      </c>
      <c r="F10">
        <v>0.35</v>
      </c>
      <c r="G10">
        <v>0.46</v>
      </c>
      <c r="H10" s="1">
        <v>9</v>
      </c>
      <c r="I10" s="2">
        <f t="shared" si="0"/>
        <v>0.6913580246913581</v>
      </c>
      <c r="J10" s="2">
        <f t="shared" si="1"/>
        <v>0.73015873015873012</v>
      </c>
    </row>
    <row r="11" spans="1:10" x14ac:dyDescent="0.3">
      <c r="A11">
        <v>10000</v>
      </c>
      <c r="B11">
        <v>0.04</v>
      </c>
      <c r="C11">
        <v>0.5</v>
      </c>
      <c r="D11">
        <v>0.65</v>
      </c>
      <c r="E11">
        <v>0.04</v>
      </c>
      <c r="F11">
        <v>0.57999999999999996</v>
      </c>
      <c r="G11">
        <v>0.73</v>
      </c>
      <c r="H11" s="1">
        <v>10</v>
      </c>
      <c r="I11" s="2">
        <f t="shared" si="0"/>
        <v>0.72222222222222221</v>
      </c>
      <c r="J11" s="2">
        <f t="shared" si="1"/>
        <v>1.0428571428571427</v>
      </c>
    </row>
    <row r="12" spans="1:10" x14ac:dyDescent="0.3">
      <c r="A12">
        <v>11000</v>
      </c>
      <c r="B12">
        <v>0.03</v>
      </c>
      <c r="C12">
        <v>0.54</v>
      </c>
      <c r="D12">
        <v>0.71</v>
      </c>
      <c r="E12">
        <v>0.05</v>
      </c>
      <c r="F12">
        <v>0.6</v>
      </c>
      <c r="G12">
        <v>0.76</v>
      </c>
      <c r="H12" s="1">
        <v>11</v>
      </c>
      <c r="I12" s="2">
        <f t="shared" si="0"/>
        <v>0.71717171717171713</v>
      </c>
      <c r="J12" s="2">
        <f t="shared" si="1"/>
        <v>0.9870129870129869</v>
      </c>
    </row>
    <row r="13" spans="1:10" x14ac:dyDescent="0.3">
      <c r="A13">
        <v>12000</v>
      </c>
      <c r="B13">
        <v>0.04</v>
      </c>
      <c r="C13">
        <v>0.56000000000000005</v>
      </c>
      <c r="D13">
        <v>0.73</v>
      </c>
      <c r="E13">
        <v>0.05</v>
      </c>
      <c r="F13">
        <v>0.63</v>
      </c>
      <c r="G13">
        <v>0.81</v>
      </c>
      <c r="H13" s="1">
        <v>12</v>
      </c>
      <c r="I13" s="2">
        <f t="shared" si="0"/>
        <v>0.67592592592592593</v>
      </c>
      <c r="J13" s="2">
        <f t="shared" si="1"/>
        <v>0.9642857142857143</v>
      </c>
    </row>
    <row r="14" spans="1:10" x14ac:dyDescent="0.3">
      <c r="A14">
        <v>13000</v>
      </c>
      <c r="B14">
        <v>0.04</v>
      </c>
      <c r="C14">
        <v>0.64</v>
      </c>
      <c r="D14">
        <v>0.84</v>
      </c>
      <c r="E14">
        <v>0.03</v>
      </c>
      <c r="F14">
        <v>0.55000000000000004</v>
      </c>
      <c r="G14">
        <v>0.67</v>
      </c>
      <c r="H14" s="1">
        <v>13</v>
      </c>
      <c r="I14" s="2">
        <f t="shared" si="0"/>
        <v>0.71794871794871795</v>
      </c>
      <c r="J14" s="2">
        <f t="shared" si="1"/>
        <v>0.7362637362637362</v>
      </c>
    </row>
    <row r="15" spans="1:10" x14ac:dyDescent="0.3">
      <c r="A15">
        <v>14000</v>
      </c>
      <c r="B15">
        <v>0.04</v>
      </c>
      <c r="C15">
        <v>0.66</v>
      </c>
      <c r="D15">
        <v>0.87</v>
      </c>
      <c r="E15">
        <v>0.05</v>
      </c>
      <c r="F15">
        <v>0.68</v>
      </c>
      <c r="G15">
        <v>0.84</v>
      </c>
      <c r="H15" s="1">
        <v>14</v>
      </c>
      <c r="I15" s="2">
        <f t="shared" si="0"/>
        <v>0.69047619047619058</v>
      </c>
      <c r="J15" s="2">
        <f t="shared" si="1"/>
        <v>0.85714285714285698</v>
      </c>
    </row>
    <row r="16" spans="1:10" x14ac:dyDescent="0.3">
      <c r="A16">
        <v>15000</v>
      </c>
      <c r="B16">
        <v>7.0000000000000007E-2</v>
      </c>
      <c r="C16">
        <v>0.71</v>
      </c>
      <c r="D16">
        <v>0.96</v>
      </c>
      <c r="E16">
        <v>0.06</v>
      </c>
      <c r="F16">
        <v>0.67</v>
      </c>
      <c r="G16">
        <v>0.85</v>
      </c>
      <c r="H16" s="1">
        <v>15</v>
      </c>
      <c r="I16" s="2">
        <f t="shared" si="0"/>
        <v>0.71111111111111103</v>
      </c>
      <c r="J16" s="2">
        <f t="shared" si="1"/>
        <v>0.80952380952380942</v>
      </c>
    </row>
    <row r="17" spans="1:10" x14ac:dyDescent="0.3">
      <c r="A17">
        <v>16000</v>
      </c>
      <c r="B17">
        <v>0.08</v>
      </c>
      <c r="C17">
        <v>0.99</v>
      </c>
      <c r="D17">
        <v>1.36</v>
      </c>
      <c r="E17">
        <v>0.08</v>
      </c>
      <c r="F17">
        <v>0.85</v>
      </c>
      <c r="G17">
        <v>1.0900000000000001</v>
      </c>
      <c r="H17" s="1">
        <v>16</v>
      </c>
      <c r="I17" s="2">
        <f t="shared" si="0"/>
        <v>0.94444444444444453</v>
      </c>
      <c r="J17" s="2">
        <f t="shared" si="1"/>
        <v>0.9732142857142857</v>
      </c>
    </row>
    <row r="18" spans="1:10" x14ac:dyDescent="0.3">
      <c r="A18">
        <v>17000</v>
      </c>
      <c r="B18">
        <v>0.09</v>
      </c>
      <c r="C18">
        <v>1.04</v>
      </c>
      <c r="D18">
        <v>1.44</v>
      </c>
      <c r="E18">
        <v>0.05</v>
      </c>
      <c r="F18">
        <v>0.73</v>
      </c>
      <c r="G18">
        <v>0.89</v>
      </c>
      <c r="H18" s="1">
        <v>17</v>
      </c>
      <c r="I18" s="2">
        <f t="shared" si="0"/>
        <v>0.94117647058823528</v>
      </c>
      <c r="J18" s="2">
        <f t="shared" si="1"/>
        <v>0.74789915966386555</v>
      </c>
    </row>
    <row r="19" spans="1:10" x14ac:dyDescent="0.3">
      <c r="A19">
        <v>18000</v>
      </c>
      <c r="B19">
        <v>0.09</v>
      </c>
      <c r="C19">
        <v>0.96</v>
      </c>
      <c r="D19">
        <v>1.38</v>
      </c>
      <c r="E19">
        <v>0.1</v>
      </c>
      <c r="F19">
        <v>0.83</v>
      </c>
      <c r="G19">
        <v>1.07</v>
      </c>
      <c r="H19" s="1">
        <v>18</v>
      </c>
      <c r="I19" s="2">
        <f t="shared" si="0"/>
        <v>0.85185185185185175</v>
      </c>
      <c r="J19" s="2">
        <f t="shared" si="1"/>
        <v>0.84920634920634919</v>
      </c>
    </row>
    <row r="20" spans="1:10" x14ac:dyDescent="0.3">
      <c r="A20">
        <v>19000</v>
      </c>
      <c r="B20">
        <v>7.0000000000000007E-2</v>
      </c>
      <c r="C20">
        <v>0.91</v>
      </c>
      <c r="D20">
        <v>1.2</v>
      </c>
      <c r="E20">
        <v>0.1</v>
      </c>
      <c r="F20">
        <v>1.08</v>
      </c>
      <c r="G20">
        <v>1.36</v>
      </c>
      <c r="H20" s="1">
        <v>19</v>
      </c>
      <c r="I20" s="2">
        <f t="shared" si="0"/>
        <v>0.70175438596491235</v>
      </c>
      <c r="J20" s="2">
        <f t="shared" si="1"/>
        <v>1.0225563909774436</v>
      </c>
    </row>
    <row r="21" spans="1:10" x14ac:dyDescent="0.3">
      <c r="A21">
        <v>20000</v>
      </c>
      <c r="B21">
        <v>7.0000000000000007E-2</v>
      </c>
      <c r="C21">
        <v>0.97</v>
      </c>
      <c r="D21">
        <v>1.29</v>
      </c>
      <c r="E21">
        <v>0.13</v>
      </c>
      <c r="F21">
        <v>1.1200000000000001</v>
      </c>
      <c r="G21">
        <v>1.41</v>
      </c>
      <c r="H21" s="1">
        <v>20</v>
      </c>
      <c r="I21" s="2">
        <f t="shared" si="0"/>
        <v>0.71666666666666667</v>
      </c>
      <c r="J21" s="2">
        <f t="shared" si="1"/>
        <v>1.0071428571428569</v>
      </c>
    </row>
    <row r="22" spans="1:10" x14ac:dyDescent="0.3">
      <c r="B22" s="3" t="s">
        <v>1</v>
      </c>
      <c r="C22" s="3"/>
      <c r="D22" s="3"/>
      <c r="E22" s="4" t="s">
        <v>2</v>
      </c>
      <c r="F22" s="4"/>
      <c r="G22" s="4"/>
    </row>
  </sheetData>
  <mergeCells count="2">
    <mergeCell ref="B22:D22"/>
    <mergeCell ref="E22:G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random order</vt:lpstr>
      <vt:lpstr>asc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2026-04-23T08:35:10Z</dcterms:created>
  <dcterms:modified xsi:type="dcterms:W3CDTF">2026-04-23T08:35:25Z</dcterms:modified>
</cp:coreProperties>
</file>